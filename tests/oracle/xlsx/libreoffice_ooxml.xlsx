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Notas" sheetId="2" state="visible" r:id="rId4"/>
    <sheet name="Oculta" sheetId="3" state="hidden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<sst xmlns="http://schemas.openxmlformats.org/spreadsheetml/2006/main" count="25" uniqueCount="25">
  <si>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Participante</t>
  </si>
  <si>
    <t xml:space="preserve">Edad</t>
  </si>
  <si>
    <t xml:space="preserve">Ciudad</t>
  </si>
  <si>
    <t xml:space="preserve">Ingreso</t>
  </si>
  <si>
    <t xml:space="preserve">Fecha</t>
  </si>
  <si>
    <t xml:space="preserve">Hora</t>
  </si>
  <si>
    <t xml:space="preserve">Doble</t>
  </si>
  <si>
    <t xml:space="preserve">Suma</t>
  </si>
  <si>
    <t xml:space="preserve">Mayor</t>
  </si>
  <si>
    <t xml:space="preserve">Division</t>
  </si>
  <si>
    <t xml:space="preserve">Logico</t>
  </si>
  <si>
    <t xml:space="preserve">Porcentaje</t>
  </si>
  <si>
    <t xml:space="preserve">FechaCalc</t>
  </si>
  <si>
    <t xml:space="preserve">P01</t>
  </si>
  <si>
    <t xml:space="preserve">Málaga</t>
  </si>
  <si>
    <t xml:space="preserve">P02</t>
  </si>
  <si>
    <t xml:space="preserve">Ñuñoa</t>
  </si>
  <si>
    <t xml:space="preserve">P03</t>
  </si>
  <si>
    <t xml:space="preserve">São Paulo</t>
  </si>
  <si>
    <t xml:space="preserve">P04</t>
  </si>
  <si>
    <t xml:space="preserve">P05</t>
  </si>
  <si>
    <t xml:space="preserve">Zürich</t>
  </si>
  <si>
    <t xml:space="preserve">Comentario</t>
  </si>
  <si>
    <t xml:space="preserve">Línea uno
línea dos</t>
  </si>
  <si>
    <t xml:space="preserve">  con espacios 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</si>
</sst>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"/>
    <numFmt numFmtId="166" formatCode="hh:mm:ss\ AM/PM"/>
    <numFmt numFmtId="167" formatCode="General"/>
    <numFmt numFmtId="168" formatCode="0.00%"/>
    <numFmt numFmtId="169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s">
        <v>13</v>
      </c>
      <c r="B2" s="0" t="n">
        <v>23</v>
      </c>
      <c r="C2" s="0" t="s">
        <v>14</v>
      </c>
      <c r="D2" s="0" t="n">
        <v>1500.5</v>
      </c>
      <c r="E2" s="1" t="n">
        <f aca="false">DATE(2024,1,11)</f>
        <v>45302</v>
      </c>
      <c r="F2" s="2" t="n">
        <f aca="false">TIME(9,5,1)</f>
        <v>0.378483796296296</v>
      </c>
      <c r="G2" s="0" t="n">
        <f aca="false">B2*2</f>
        <v>46</v>
      </c>
      <c r="H2" s="0" t="n">
        <f aca="false">B2+D2</f>
        <v>1523.5</v>
      </c>
      <c r="I2" s="0" t="str">
        <f aca="false">IF(B2&gt;30,"mayor","menor")</f>
        <v>menor</v>
      </c>
      <c r="J2" s="0" t="e">
        <f aca="false">D2/(B2-B2)</f>
        <v>#DIV/0!</v>
      </c>
      <c r="K2" s="3" t="b">
        <f aca="false">B2&gt;30</f>
        <v>0</v>
      </c>
      <c r="L2" s="4" t="n">
        <v>0.1</v>
      </c>
      <c r="M2" s="5" t="n">
        <v>45001</v>
      </c>
    </row>
    <row r="3" customFormat="false" ht="12.8" hidden="false" customHeight="false" outlineLevel="0" collapsed="false">
      <c r="A3" s="0" t="s">
        <v>15</v>
      </c>
      <c r="B3" s="0" t="n">
        <v>35</v>
      </c>
      <c r="C3" s="0" t="s">
        <v>16</v>
      </c>
      <c r="D3" s="0" t="n">
        <v>2300</v>
      </c>
      <c r="E3" s="1" t="n">
        <f aca="false">DATE(2024,2,12)</f>
        <v>45334</v>
      </c>
      <c r="F3" s="2" t="n">
        <f aca="false">TIME(10,10,2)</f>
        <v>0.423634259259259</v>
      </c>
      <c r="G3" s="0" t="n">
        <f aca="false">B3*2</f>
        <v>70</v>
      </c>
      <c r="H3" s="0" t="n">
        <f aca="false">B3+D3</f>
        <v>2335</v>
      </c>
      <c r="I3" s="0" t="str">
        <f aca="false">IF(B3&gt;30,"mayor","menor")</f>
        <v>mayor</v>
      </c>
      <c r="J3" s="0" t="e">
        <f aca="false">D3/(B3-B3)</f>
        <v>#DIV/0!</v>
      </c>
      <c r="K3" s="3" t="b">
        <f aca="false">B3&gt;30</f>
        <v>1</v>
      </c>
      <c r="L3" s="4" t="n">
        <v>0.2</v>
      </c>
      <c r="M3" s="5" t="n">
        <v>45002</v>
      </c>
    </row>
    <row r="4" customFormat="false" ht="12.8" hidden="false" customHeight="false" outlineLevel="0" collapsed="false">
      <c r="A4" s="0" t="s">
        <v>17</v>
      </c>
      <c r="C4" s="0" t="s">
        <v>18</v>
      </c>
      <c r="D4" s="0" t="n">
        <v>1999.99</v>
      </c>
      <c r="E4" s="1" t="n">
        <f aca="false">DATE(2024,3,13)</f>
        <v>45364</v>
      </c>
      <c r="F4" s="2" t="n">
        <f aca="false">TIME(11,15,3)</f>
        <v>0.468784722222222</v>
      </c>
      <c r="G4" s="0" t="n">
        <f aca="false">B4*2</f>
        <v>0</v>
      </c>
      <c r="H4" s="0" t="n">
        <f aca="false">B4+D4</f>
        <v>1999.99</v>
      </c>
      <c r="I4" s="0" t="str">
        <f aca="false">IF(B4&gt;30,"mayor","menor")</f>
        <v>menor</v>
      </c>
      <c r="J4" s="0" t="e">
        <f aca="false">D4/(B4-B4)</f>
        <v>#DIV/0!</v>
      </c>
      <c r="K4" s="3" t="b">
        <f aca="false">B4&gt;30</f>
        <v>0</v>
      </c>
      <c r="L4" s="4" t="n">
        <v>0.3</v>
      </c>
      <c r="M4" s="5" t="n">
        <v>45003</v>
      </c>
    </row>
    <row r="5" customFormat="false" ht="12.8" hidden="false" customHeight="false" outlineLevel="0" collapsed="false">
      <c r="A5" s="0" t="s">
        <v>19</v>
      </c>
      <c r="B5" s="0" t="n">
        <v>41</v>
      </c>
      <c r="D5" s="0" t="n">
        <v>3100.25</v>
      </c>
      <c r="E5" s="1" t="n">
        <f aca="false">DATE(2024,4,14)</f>
        <v>45396</v>
      </c>
      <c r="F5" s="2" t="n">
        <f aca="false">TIME(12,20,4)</f>
        <v>0.513935185185185</v>
      </c>
      <c r="G5" s="0" t="n">
        <f aca="false">B5*2</f>
        <v>82</v>
      </c>
      <c r="H5" s="0" t="n">
        <f aca="false">B5+D5</f>
        <v>3141.25</v>
      </c>
      <c r="I5" s="0" t="str">
        <f aca="false">IF(B5&gt;30,"mayor","menor")</f>
        <v>mayor</v>
      </c>
      <c r="J5" s="0" t="e">
        <f aca="false">D5/(B5-B5)</f>
        <v>#DIV/0!</v>
      </c>
      <c r="K5" s="3" t="b">
        <f aca="false">B5&gt;30</f>
        <v>1</v>
      </c>
      <c r="L5" s="4" t="n">
        <v>0.4</v>
      </c>
      <c r="M5" s="5" t="n">
        <v>45004</v>
      </c>
    </row>
    <row r="6" customFormat="false" ht="12.8" hidden="false" customHeight="false" outlineLevel="0" collapsed="false">
      <c r="A6" s="0" t="s">
        <v>20</v>
      </c>
      <c r="B6" s="0" t="n">
        <v>29</v>
      </c>
      <c r="C6" s="0" t="s">
        <v>21</v>
      </c>
      <c r="E6" s="1" t="n">
        <f aca="false">DATE(2024,5,15)</f>
        <v>45427</v>
      </c>
      <c r="F6" s="2" t="n">
        <f aca="false">TIME(13,25,5)</f>
        <v>0.559085648148148</v>
      </c>
      <c r="G6" s="0" t="n">
        <f aca="false">B6*2</f>
        <v>58</v>
      </c>
      <c r="H6" s="0" t="n">
        <f aca="false">B6+D6</f>
        <v>29</v>
      </c>
      <c r="I6" s="0" t="str">
        <f aca="false">IF(B6&gt;30,"mayor","menor")</f>
        <v>menor</v>
      </c>
      <c r="J6" s="0" t="e">
        <f aca="false">D6/(B6-B6)</f>
        <v>#DIV/0!</v>
      </c>
      <c r="K6" s="3" t="b">
        <f aca="false">B6&gt;30</f>
        <v>0</v>
      </c>
      <c r="L6" s="4" t="n">
        <v>0.5</v>
      </c>
      <c r="M6" s="5" t="n">
        <v>45005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22</v>
      </c>
    </row>
    <row r="2" customFormat="false" ht="12.8" hidden="false" customHeight="false" outlineLevel="0" collapsed="false">
      <c r="A2" s="6" t="s">
        <v>23</v>
      </c>
    </row>
    <row r="3" customFormat="false" ht="12.8" hidden="false" customHeight="false" outlineLevel="0" collapsed="false">
      <c r="A3" s="0" t="s">
        <v>24</v>
      </c>
    </row>
    <row r="4" customFormat="false" ht="12.8" hidden="false" customHeight="false" outlineLevel="0" collapsed="false">
      <c r="B4" s="0" t="n">
        <v>-0.000123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2026-10-20T10:12:23Z</dcterms:modified>
  <cp:revision>1</cp:revision>
  <dc:subject/>
  <dc:title/>
</cp:coreProperties>
</file>