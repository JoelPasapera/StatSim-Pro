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Segunda" sheetId="2" r:id="rId2"/>
    <sheet name="Escondida" sheetId="3" state="hidden" r:id="rId3"/>
    <sheet name="Grafico" sheetId="4" r:id="rId4"/>
  </sheets>
  <definedNames>
    <definedName name="_xlnm._FilterDatabase" localSheetId="0" hidden="1">Datos!$A$1:$P$10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Un comentario</t>
        </r>
      </text>
    </comment>
  </commentList>
</comments>
</file>

<file path=xl/sharedStrings.xml><?xml version="1.0" encoding="utf-8"?>
<sst xmlns="http://schemas.openxmlformats.org/spreadsheetml/2006/main" count="53" uniqueCount="40">
  <si>
    <t>ID</t>
  </si>
  <si>
    <t>Nombre</t>
  </si>
  <si>
    <t>Grupo</t>
  </si>
  <si>
    <t>Nota</t>
  </si>
  <si>
    <t>Nacimiento</t>
  </si>
  <si>
    <t>Cita</t>
  </si>
  <si>
    <t>Tiempo</t>
  </si>
  <si>
    <t>Aprobado</t>
  </si>
  <si>
    <t>Calculo</t>
  </si>
  <si>
    <t>Pendiente</t>
  </si>
  <si>
    <t>Texto calc</t>
  </si>
  <si>
    <t>Error calc</t>
  </si>
  <si>
    <t>Logico calc</t>
  </si>
  <si>
    <t>Avance</t>
  </si>
  <si>
    <t>Rico</t>
  </si>
  <si>
    <t>Enlace</t>
  </si>
  <si>
    <t>Ana</t>
  </si>
  <si>
    <t>A</t>
  </si>
  <si>
    <r>
      <t xml:space="preserve">tramo </t>
    </r>
    <r>
      <rPr>
        <b/>
        <sz val="11"/>
        <color theme="1"/>
        <rFont val="Calibri"/>
        <family val="2"/>
        <scheme val="minor"/>
      </rPr>
      <t>negrita</t>
    </r>
    <r>
      <rPr>
        <sz val="11"/>
        <color theme="1"/>
        <rFont val="Calibri"/>
        <family val="2"/>
        <scheme val="minor"/>
      </rPr>
      <t xml:space="preserve"> y </t>
    </r>
    <r>
      <rPr>
        <sz val="11"/>
        <color rgb="FFFF0000"/>
        <rFont val="Calibri"/>
        <family val="2"/>
        <scheme val="minor"/>
      </rPr>
      <t>rojo</t>
    </r>
  </si>
  <si>
    <t>Sitio 0</t>
  </si>
  <si>
    <t>Bruno</t>
  </si>
  <si>
    <t>B</t>
  </si>
  <si>
    <t>Sitio 1</t>
  </si>
  <si>
    <t>Carmen</t>
  </si>
  <si>
    <t>Diego</t>
  </si>
  <si>
    <t>Elena</t>
  </si>
  <si>
    <t>Fermín</t>
  </si>
  <si>
    <t>Gloria</t>
  </si>
  <si>
    <t>Héctor</t>
  </si>
  <si>
    <t>=no es una fórmula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</si>
  <si>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</si>
  <si>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Combinadas</t>
  </si>
  <si>
    <t>Medida</t>
  </si>
  <si>
    <t>Valor</t>
  </si>
  <si>
    <t>m0</t>
  </si>
  <si>
    <t>m1</t>
  </si>
  <si>
    <t>m2</t>
  </si>
  <si>
    <t>m3</t>
  </si>
  <si>
    <t>m4</t>
  </si>
  <si>
    <t>nada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</si>
</sst>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yyyy-mm-dd hh:mm"/>
    <numFmt numFmtId="166" formatCode="[h]:mm"/>
    <numFmt numFmtId="167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chartsheet" Target="chartsheets/sheet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Segunda!$B$2:$B$6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org/0" TargetMode="External"/><Relationship Id="rId2" Type="http://schemas.openxmlformats.org/officeDocument/2006/relationships/hyperlink" Target="https://example.org/1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t="s">
        <v>31</v>
      </c>
    </row>
    <row r="2" spans="1:18">
      <c r="A2">
        <v>1</v>
      </c>
      <c r="B2" t="s">
        <v>16</v>
      </c>
      <c r="C2" t="s">
        <v>17</v>
      </c>
      <c r="D2">
        <v>10</v>
      </c>
      <c r="E2" s="2">
        <v>32874</v>
      </c>
      <c r="F2" s="3">
        <v>45352.34375</v>
      </c>
      <c r="G2" s="4">
        <v>0.2916666666666666</v>
      </c>
      <c r="H2" t="b">
        <v>0</v>
      </c>
      <c r="I2">
        <f>A2*2</f>
        <v>2</v>
      </c>
      <c r="J2">
        <f>A2+D2</f>
        <v>0</v>
      </c>
      <c r="K2" t="str">
        <f>B2&amp;"!"</f>
        <v>Ana!</v>
      </c>
      <c r="L2" t="e">
        <f>1/0</f>
        <v>#DIV/0!</v>
      </c>
      <c r="M2" t="b">
        <f>A2&gt;4</f>
        <v>0</v>
      </c>
      <c r="N2" s="5">
        <v>0</v>
      </c>
      <c r="O2" t="s">
        <v>18</v>
      </c>
      <c r="P2" s="6" t="s">
        <v>19</v>
      </c>
    </row>
    <row r="3" spans="1:18">
      <c r="A3">
        <v>2</v>
      </c>
      <c r="B3" t="s">
        <v>20</v>
      </c>
      <c r="C3" t="s">
        <v>21</v>
      </c>
      <c r="D3">
        <v>11.25</v>
      </c>
      <c r="E3" s="2">
        <v>33271</v>
      </c>
      <c r="F3" s="3">
        <v>45353.38541666666</v>
      </c>
      <c r="G3" s="4">
        <v>0.5833333333333333</v>
      </c>
      <c r="H3" t="b">
        <v>1</v>
      </c>
      <c r="I3">
        <f>A3*2</f>
        <v>4</v>
      </c>
      <c r="J3">
        <f>A3+D3</f>
        <v>0</v>
      </c>
      <c r="K3" t="str">
        <f>B3&amp;"!"</f>
        <v>Bruno!</v>
      </c>
      <c r="L3" t="e">
        <f>1/0</f>
        <v>#DIV/0!</v>
      </c>
      <c r="M3" t="b">
        <f>A3&gt;4</f>
        <v>0</v>
      </c>
      <c r="N3" s="5">
        <v>0.125</v>
      </c>
      <c r="O3" t="s">
        <v>18</v>
      </c>
      <c r="P3" s="6" t="s">
        <v>22</v>
      </c>
    </row>
    <row r="4" spans="1:18">
      <c r="A4">
        <v>3</v>
      </c>
      <c r="B4" t="s">
        <v>23</v>
      </c>
      <c r="C4" t="s">
        <v>17</v>
      </c>
      <c r="D4">
        <v>12.5</v>
      </c>
      <c r="E4" s="2">
        <v>33666</v>
      </c>
      <c r="F4" s="3">
        <v>45354.42708333334</v>
      </c>
      <c r="G4" s="4">
        <v>0.875</v>
      </c>
      <c r="H4" t="b">
        <v>1</v>
      </c>
      <c r="I4">
        <f>A4*2</f>
        <v>6</v>
      </c>
      <c r="J4">
        <f>A4+D4</f>
        <v>0</v>
      </c>
      <c r="K4" t="str">
        <f>B4&amp;"!"</f>
        <v>Carmen!</v>
      </c>
      <c r="L4" t="e">
        <f>1/0</f>
        <v>#DIV/0!</v>
      </c>
      <c r="M4" t="b">
        <f>A4&gt;4</f>
        <v>0</v>
      </c>
      <c r="N4" s="5">
        <v>0.25</v>
      </c>
      <c r="O4" t="s">
        <v>18</v>
      </c>
    </row>
    <row r="5" spans="1:18">
      <c r="A5">
        <v>4</v>
      </c>
      <c r="B5" t="s">
        <v>24</v>
      </c>
      <c r="C5" t="s">
        <v>21</v>
      </c>
      <c r="E5" s="2">
        <v>34063</v>
      </c>
      <c r="F5" s="3">
        <v>45355.46875</v>
      </c>
      <c r="G5" s="4">
        <v>1.166666666666667</v>
      </c>
      <c r="H5" t="b">
        <v>0</v>
      </c>
      <c r="I5">
        <f>A5*2</f>
        <v>8</v>
      </c>
      <c r="J5">
        <f>A5+D5</f>
        <v>0</v>
      </c>
      <c r="K5" t="str">
        <f>B5&amp;"!"</f>
        <v>Diego!</v>
      </c>
      <c r="L5" t="e">
        <f>1/0</f>
        <v>#DIV/0!</v>
      </c>
      <c r="M5" t="b">
        <f>A5&gt;4</f>
        <v>0</v>
      </c>
      <c r="N5" s="5">
        <v>0.375</v>
      </c>
      <c r="O5" t="s">
        <v>18</v>
      </c>
    </row>
    <row r="6" spans="1:18">
      <c r="A6">
        <v>5</v>
      </c>
      <c r="B6" t="s">
        <v>25</v>
      </c>
      <c r="C6" t="s">
        <v>17</v>
      </c>
      <c r="D6">
        <v>15</v>
      </c>
      <c r="E6" s="2">
        <v>34459</v>
      </c>
      <c r="F6" s="3">
        <v>45356.51041666666</v>
      </c>
      <c r="G6" s="4">
        <v>1.458333333333333</v>
      </c>
      <c r="H6" t="b">
        <v>1</v>
      </c>
      <c r="I6">
        <f>A6*2</f>
        <v>10</v>
      </c>
      <c r="J6">
        <f>A6+D6</f>
        <v>0</v>
      </c>
      <c r="K6" t="str">
        <f>B6&amp;"!"</f>
        <v>Elena!</v>
      </c>
      <c r="L6" t="e">
        <f>1/0</f>
        <v>#DIV/0!</v>
      </c>
      <c r="M6" t="b">
        <f>A6&gt;4</f>
        <v>1</v>
      </c>
      <c r="N6" s="5">
        <v>0.5</v>
      </c>
      <c r="O6" t="s">
        <v>18</v>
      </c>
    </row>
    <row r="7" spans="1:18">
      <c r="A7">
        <v>6</v>
      </c>
      <c r="B7" t="s">
        <v>26</v>
      </c>
      <c r="C7" t="s">
        <v>21</v>
      </c>
      <c r="D7">
        <v>16.25</v>
      </c>
      <c r="E7" s="2">
        <v>34856</v>
      </c>
      <c r="F7" s="3">
        <v>45357.55208333334</v>
      </c>
      <c r="G7" s="4">
        <v>1.75</v>
      </c>
      <c r="H7" t="b">
        <v>1</v>
      </c>
      <c r="I7">
        <f>A7*2</f>
        <v>12</v>
      </c>
      <c r="J7">
        <f>A7+D7</f>
        <v>0</v>
      </c>
      <c r="K7" t="str">
        <f>B7&amp;"!"</f>
        <v>Fermín!</v>
      </c>
      <c r="L7" t="e">
        <f>1/0</f>
        <v>#DIV/0!</v>
      </c>
      <c r="M7" t="b">
        <f>A7&gt;4</f>
        <v>1</v>
      </c>
      <c r="N7" s="5">
        <v>0.625</v>
      </c>
      <c r="O7" t="s">
        <v>18</v>
      </c>
    </row>
    <row r="8" spans="1:18">
      <c r="A8">
        <v>7</v>
      </c>
      <c r="B8" t="s">
        <v>27</v>
      </c>
      <c r="C8" t="s">
        <v>17</v>
      </c>
      <c r="D8">
        <v>17.5</v>
      </c>
      <c r="E8" s="2">
        <v>35253</v>
      </c>
      <c r="F8" s="3">
        <v>45358.59375</v>
      </c>
      <c r="G8" s="4">
        <v>2.041666666666667</v>
      </c>
      <c r="H8" t="b">
        <v>0</v>
      </c>
      <c r="I8">
        <f>A8*2</f>
        <v>14</v>
      </c>
      <c r="J8">
        <f>A8+D8</f>
        <v>0</v>
      </c>
      <c r="K8" t="str">
        <f>B8&amp;"!"</f>
        <v>Gloria!</v>
      </c>
      <c r="L8" t="e">
        <f>1/0</f>
        <v>#DIV/0!</v>
      </c>
      <c r="M8" t="b">
        <f>A8&gt;4</f>
        <v>1</v>
      </c>
      <c r="N8" s="5">
        <v>0.75</v>
      </c>
      <c r="O8" t="s">
        <v>18</v>
      </c>
    </row>
    <row r="9" spans="1:18">
      <c r="A9">
        <v>8</v>
      </c>
      <c r="B9" t="s">
        <v>28</v>
      </c>
      <c r="C9" t="s">
        <v>21</v>
      </c>
      <c r="D9">
        <v>18.75</v>
      </c>
      <c r="E9" s="2">
        <v>35650</v>
      </c>
      <c r="F9" s="3">
        <v>45359.63541666666</v>
      </c>
      <c r="G9" s="4">
        <v>2.333333333333333</v>
      </c>
      <c r="H9" t="b">
        <v>1</v>
      </c>
      <c r="I9">
        <f>A9*2</f>
        <v>16</v>
      </c>
      <c r="J9">
        <f>A9+D9</f>
        <v>0</v>
      </c>
      <c r="K9" t="str">
        <f>B9&amp;"!"</f>
        <v>Héctor!</v>
      </c>
      <c r="L9" t="e">
        <f>1/0</f>
        <v>#DIV/0!</v>
      </c>
      <c r="M9" t="b">
        <f>A9&gt;4</f>
        <v>1</v>
      </c>
      <c r="N9" s="5">
        <v>0.875</v>
      </c>
      <c r="O9" t="s">
        <v>18</v>
      </c>
    </row>
    <row r="10" spans="1:18">
      <c r="B10" t="s">
        <v>29</v>
      </c>
      <c r="C10" t="s">
        <v>30</v>
      </c>
    </row>
  </sheetData>
  <autoFilter ref="A1:P10"/>
  <mergeCells count="1">
    <mergeCell ref="R1:T1"/>
  </mergeCells>
  <dataValidations count="1">
    <dataValidation type="list" allowBlank="1" showInputMessage="1" showErrorMessage="1" sqref="C2:C9">
      <formula1>"A,B"</formula1>
    </dataValidation>
  </dataValidations>
  <hyperlinks>
    <hyperlink ref="P2" r:id="rId1"/>
    <hyperlink ref="P3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32</v>
      </c>
      <c r="B1" t="s">
        <v>33</v>
      </c>
    </row>
    <row r="2" spans="1:2">
      <c r="A2" t="s">
        <v>34</v>
      </c>
      <c r="B2">
        <v>0</v>
      </c>
    </row>
    <row r="3" spans="1:2">
      <c r="A3" t="s">
        <v>35</v>
      </c>
      <c r="B3">
        <v>1</v>
      </c>
    </row>
    <row r="4" spans="1:2">
      <c r="A4" t="s">
        <v>36</v>
      </c>
      <c r="B4">
        <v>4</v>
      </c>
    </row>
    <row r="5" spans="1:2">
      <c r="A5" t="s">
        <v>37</v>
      </c>
      <c r="B5">
        <v>9</v>
      </c>
    </row>
    <row r="6" spans="1:2">
      <c r="A6" t="s">
        <v>38</v>
      </c>
      <c r="B6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Datos</vt:lpstr>
      <vt:lpstr>Segunda</vt:lpstr>
      <vt:lpstr>Escondida</vt:lpstr>
      <vt:lpstr>Grafico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StatSim Pro (pruebas)</dc:creator>
  <cp:lastModifiedBy>StatSim Pro (pruebas)</cp:lastModifiedBy>
  <dcterms:created xsi:type="dcterms:W3CDTF">2026-10-20T09:30:00Z</dcterms:created>
  <dcterms:modified xsi:type="dcterms:W3CDTF">2026-10-20T09:30:00Z</dcterms:modified>
</cp:coreProperties>
</file>